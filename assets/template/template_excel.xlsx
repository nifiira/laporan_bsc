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her computers\My Computer\Project\laporan_bsc-main\assets\template\"/>
    </mc:Choice>
  </mc:AlternateContent>
  <xr:revisionPtr revIDLastSave="0" documentId="13_ncr:1_{F303401B-CDF1-47E9-A586-25BB648BDB47}" xr6:coauthVersionLast="47" xr6:coauthVersionMax="47" xr10:uidLastSave="{00000000-0000-0000-0000-000000000000}"/>
  <bookViews>
    <workbookView xWindow="-108" yWindow="-108" windowWidth="23256" windowHeight="12456" xr2:uid="{694369AE-DBA1-4A1F-BF57-5BE6D69646E2}"/>
  </bookViews>
  <sheets>
    <sheet name="Lapo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6" i="1" l="1"/>
  <c r="E43" i="1"/>
  <c r="E17" i="1"/>
  <c r="E2" i="1"/>
  <c r="D114" i="1"/>
  <c r="F106" i="1"/>
  <c r="D103" i="1"/>
  <c r="D99" i="1"/>
  <c r="D95" i="1"/>
  <c r="D88" i="1"/>
  <c r="D86" i="1" s="1"/>
  <c r="D81" i="1"/>
  <c r="D73" i="1"/>
  <c r="D63" i="1"/>
  <c r="D45" i="1"/>
  <c r="D43" i="1" s="1"/>
  <c r="D30" i="1"/>
  <c r="D19" i="1"/>
  <c r="D4" i="1"/>
  <c r="D2" i="1"/>
  <c r="D17" i="1" l="1"/>
  <c r="E111" i="1"/>
  <c r="E113" i="1"/>
  <c r="E112" i="1"/>
  <c r="D106" i="1"/>
  <c r="E110" i="1"/>
  <c r="E114" i="1" l="1"/>
  <c r="E115" i="1" s="1"/>
  <c r="E106" i="1"/>
</calcChain>
</file>

<file path=xl/sharedStrings.xml><?xml version="1.0" encoding="utf-8"?>
<sst xmlns="http://schemas.openxmlformats.org/spreadsheetml/2006/main" count="287" uniqueCount="225">
  <si>
    <t>NO</t>
  </si>
  <si>
    <t>ASPEK KINERJA</t>
  </si>
  <si>
    <t>TARGET SKOR MAKSIMAL</t>
  </si>
  <si>
    <t>REALISASI SKOR RSUD</t>
  </si>
  <si>
    <t>SKOR TRIWULAN SEBELUMNYA</t>
  </si>
  <si>
    <t>KINERJA DARI PERSPEKTIF PERTUMBUHAN DAN PEMBELAJARAN</t>
  </si>
  <si>
    <t>1.1</t>
  </si>
  <si>
    <t>KINERJA ASPEK PELAYANAN</t>
  </si>
  <si>
    <t>1.1.1</t>
  </si>
  <si>
    <t>Sub Aspek Pertumbuhan Pembelajaran</t>
  </si>
  <si>
    <t>a</t>
  </si>
  <si>
    <t>Kecukupan Sumber Daya Manusia</t>
  </si>
  <si>
    <t>b</t>
  </si>
  <si>
    <t>Rata-rata jam pelatihan Pegawai BLUD</t>
  </si>
  <si>
    <t>c</t>
  </si>
  <si>
    <t>Pelatihan 20 Jam per Pegawai</t>
  </si>
  <si>
    <t>d</t>
  </si>
  <si>
    <t>Petugas Layanan Gawat Darurat Bersetifikat (PGD)</t>
  </si>
  <si>
    <t>e</t>
  </si>
  <si>
    <t>Program Reward and Punishment</t>
  </si>
  <si>
    <t>f</t>
  </si>
  <si>
    <t>Presentase Dokter Pendidik Klinis yang Mendapat TOT</t>
  </si>
  <si>
    <t>g</t>
  </si>
  <si>
    <t>Kecukupan Sarana Medis</t>
  </si>
  <si>
    <t>h</t>
  </si>
  <si>
    <t>Pelayanan pemeliharaan sarana rumah sakit</t>
  </si>
  <si>
    <t>i</t>
  </si>
  <si>
    <t>Pengembangan SIM RS</t>
  </si>
  <si>
    <t>j</t>
  </si>
  <si>
    <t>Pelayanan administrasi manajemen</t>
  </si>
  <si>
    <t>k</t>
  </si>
  <si>
    <t>Kenaikan Pendapatan RSD per Pegawai</t>
  </si>
  <si>
    <t>KINERJA DARI PERSPEKTIF PROSES LAYANAN INTERNAL</t>
  </si>
  <si>
    <t>2.1</t>
  </si>
  <si>
    <t>2.1.1</t>
  </si>
  <si>
    <t>Sub Aspek Pertumbuhan Produktivitas</t>
  </si>
  <si>
    <t>Pertumbuhan Kunjungan Rawat Jalan</t>
  </si>
  <si>
    <t>Pertumbuhan rata-rata kunjungan Gawat Darurat</t>
  </si>
  <si>
    <t>Pertumbuhan Kunjungan Rawat Inap</t>
  </si>
  <si>
    <t>Pertumbuhan Pemeriksaan Radiologi</t>
  </si>
  <si>
    <t>Pertumbuhan Pemeriksaan Laboratorium</t>
  </si>
  <si>
    <t>Pertumbuhan Operasi</t>
  </si>
  <si>
    <t>Pertumbuhan Rehab Medik</t>
  </si>
  <si>
    <t>Pertumbuhan Peserta Didik Pendidikan Kedokteran</t>
  </si>
  <si>
    <t>Pertumbuhan Penelitian yang dipublikasikan</t>
  </si>
  <si>
    <t>2.1.2</t>
  </si>
  <si>
    <t>Sub Aspek Efektivitas Pelayanan</t>
  </si>
  <si>
    <t>Kelengkapan Rekam Medik 24 Jam Selesai Pelayanan</t>
  </si>
  <si>
    <t>Pengembalian Rekam Medik</t>
  </si>
  <si>
    <t>Angka Pembatalan Operasi</t>
  </si>
  <si>
    <t>Angka Kegagalan Hasil Radiologi</t>
  </si>
  <si>
    <t>Penulisan Resep Sesuai Formularium/Kepatuhan Penggunaan Formularium Nasional</t>
  </si>
  <si>
    <t>Angka Pengulangan Pemeriksaan Laboratorium</t>
  </si>
  <si>
    <t>Bed Occupancy Rate (BOR)</t>
  </si>
  <si>
    <t>Waktu Tunggu Hasil Laboratorium Kritis/Pelaporan Hasil Kritis Laboratorium</t>
  </si>
  <si>
    <t>Waktu Tunggu di Rawat Jalan</t>
  </si>
  <si>
    <t>Waktu Tanggap Darurat di IGD</t>
  </si>
  <si>
    <t>Net Death Rate</t>
  </si>
  <si>
    <t>KINERJA DARI PERSPEKTIF PELANGGAN</t>
  </si>
  <si>
    <t>3.1</t>
  </si>
  <si>
    <t>KINERJA MUTU DAN MANFAAT BAGI MASYARAKAT</t>
  </si>
  <si>
    <t>3.1.1</t>
  </si>
  <si>
    <t>SubAspek Mutu Layanan</t>
  </si>
  <si>
    <t>Emergency Response Time Rate</t>
  </si>
  <si>
    <t>Waktu Tunggu Rawat Jalan</t>
  </si>
  <si>
    <t>Leght of Stay</t>
  </si>
  <si>
    <t>Kecepatan Pelayanan Resep Obat Jadi</t>
  </si>
  <si>
    <t>Waktu Tunggu Sebelum Operasi/Penundaan Operasi Efektif</t>
  </si>
  <si>
    <t>Waktu Tunggu Hasil Laboratorium</t>
  </si>
  <si>
    <t>Waktu Tunggu Hasil Radiologi</t>
  </si>
  <si>
    <t>Rujukan Keluar Rawat Inap</t>
  </si>
  <si>
    <t>Retensi Pelanggan Rawat Jalan</t>
  </si>
  <si>
    <t>Pasien Pulang Paksa (Pulang atas Permintaan sendiri)</t>
  </si>
  <si>
    <t>Kepatuhan Kebersihan Tangan</t>
  </si>
  <si>
    <t>l</t>
  </si>
  <si>
    <t>Kepatuhan Penggunaan Alat Pelindung Diri</t>
  </si>
  <si>
    <t>m</t>
  </si>
  <si>
    <t>Kepatuhan identifikasi pasien</t>
  </si>
  <si>
    <t>n</t>
  </si>
  <si>
    <t>Waktu Tanggap Operasi Seksio Sesarea Emergensi</t>
  </si>
  <si>
    <t>o</t>
  </si>
  <si>
    <t>Kepatuhan Waktu Visite Dokter</t>
  </si>
  <si>
    <t>p</t>
  </si>
  <si>
    <r>
      <t>Kepatuhan Terhadap Alur Klinis (</t>
    </r>
    <r>
      <rPr>
        <b/>
        <sz val="11"/>
        <color rgb="FF000000"/>
        <rFont val="Aptos Narrow"/>
        <family val="2"/>
        <scheme val="minor"/>
      </rPr>
      <t>Clinical Pathway</t>
    </r>
    <r>
      <rPr>
        <sz val="11"/>
        <color rgb="FF000000"/>
        <rFont val="Aptos Narrow"/>
        <family val="2"/>
        <scheme val="minor"/>
      </rPr>
      <t>)</t>
    </r>
  </si>
  <si>
    <t>3.1.2</t>
  </si>
  <si>
    <t>SubAspek Mutu Klinik</t>
  </si>
  <si>
    <t>Angka Kematian di Gawat Darurat</t>
  </si>
  <si>
    <t>Angka Kematian/Kebutaan &gt; 48 jam</t>
  </si>
  <si>
    <t>Post Operative Death Rate</t>
  </si>
  <si>
    <t>Angka Infeksi Nosokomial Dekubitus</t>
  </si>
  <si>
    <t>Angka Infeksi Nosokomial Phlebitis</t>
  </si>
  <si>
    <t>Angka Infeksi Nosokomial Saluran Kemih (ISK)</t>
  </si>
  <si>
    <t>Angka Infeksi Nosokomial Luka Operasi (ILO)</t>
  </si>
  <si>
    <t>Angka Kematian Ibu di Rumah Sakit.</t>
  </si>
  <si>
    <t>3.1.3</t>
  </si>
  <si>
    <t>SubAspek Kepedulian pada Masyarakat</t>
  </si>
  <si>
    <t>Rasio Tempat Tidur Kelas III (RTT)</t>
  </si>
  <si>
    <t>Kecepatan Waktu Tanggapi Komplain</t>
  </si>
  <si>
    <t>Kepuasan Pasien</t>
  </si>
  <si>
    <t>Pembinaan kepada Pusat Pelayanan Masyarakat dan Sarana Kesehatan Lain</t>
  </si>
  <si>
    <t>Penyuluhan Kesehatan</t>
  </si>
  <si>
    <t>Kepatuhan Upaya pencegahan Risiko Pasien Jatuh</t>
  </si>
  <si>
    <t>3.1.4</t>
  </si>
  <si>
    <t>SubAspek kepedulian terhadap Lingkungan</t>
  </si>
  <si>
    <t>Pengolahan baku mutu limbah cair</t>
  </si>
  <si>
    <t>3.1.5</t>
  </si>
  <si>
    <t>SubAspek Akreditasi</t>
  </si>
  <si>
    <t>KINERJA DARI PERSPEKTIF KEUANGAN</t>
  </si>
  <si>
    <t>4.1.1</t>
  </si>
  <si>
    <t>KINERJA MEMPEROLEH HASIL USAHA ATAU HASIL KERJA DARI LAYANAN YANG DIBERIKAN</t>
  </si>
  <si>
    <t>Periode Penagihan Piutang (Collection Period)</t>
  </si>
  <si>
    <t>Perputaran Aset Tetap (Fixed Asset Turnover)</t>
  </si>
  <si>
    <t>Perputaran Persediaan (Inventory Turnover)</t>
  </si>
  <si>
    <t>Imbalan atas Aset Tetap (Return on Fixed Asset)</t>
  </si>
  <si>
    <t>Imbalan atas Ekuitas (Return on Equity)</t>
  </si>
  <si>
    <t>4.1.2</t>
  </si>
  <si>
    <t>KINERJA MEMENUHI SELURUH KEWAJIBAN JANGKA PENDEKNYA</t>
  </si>
  <si>
    <t>Rasio Kas (Cash Ratio)</t>
  </si>
  <si>
    <t>Rasio Lancar (Current Ratio)</t>
  </si>
  <si>
    <t>4.1.3</t>
  </si>
  <si>
    <t>KINERJA MEMENUHI SELURUH KEWAJIBAN</t>
  </si>
  <si>
    <t>Rasio Kewajiban terhadap Aset</t>
  </si>
  <si>
    <t>Rasio Kewajiban terhadap Ekuitas</t>
  </si>
  <si>
    <t>4.1.4</t>
  </si>
  <si>
    <t>KINERJA KEMAMPUAN PENERIMAAN DARI JASA LAYANAN UNTUK MEMBIAYAI PENGELUARAN</t>
  </si>
  <si>
    <t>Rasio Pendapatan BLUD non APBD-LO terhadap Biaya Operasional / Cost Recovery Rate</t>
  </si>
  <si>
    <t>Porsi Pendapatan APBD-LO dibandingkan pendapatan non APBD-LO</t>
  </si>
  <si>
    <t>Rekapitulasi Nilai</t>
  </si>
  <si>
    <t>PERSPEKTIF</t>
  </si>
  <si>
    <t>TARGET</t>
  </si>
  <si>
    <t>NILAI</t>
  </si>
  <si>
    <t>Pertumbuhan dan Pembelajaran</t>
  </si>
  <si>
    <t>Proses Layanan Internal</t>
  </si>
  <si>
    <t>Pelanggan</t>
  </si>
  <si>
    <t>Keuangan</t>
  </si>
  <si>
    <t>Total Nilai</t>
  </si>
  <si>
    <t>Kriteria</t>
  </si>
  <si>
    <t>$skor_11_Total</t>
  </si>
  <si>
    <t>$skor_111_Total</t>
  </si>
  <si>
    <t>$subTotal_111_A</t>
  </si>
  <si>
    <t>$subTotal_111_B</t>
  </si>
  <si>
    <t>$subTotal_111_C</t>
  </si>
  <si>
    <t>$subTotal_111_D</t>
  </si>
  <si>
    <t>$subTotal_111_E</t>
  </si>
  <si>
    <t>$subTotal_111_F</t>
  </si>
  <si>
    <t>$subTotal_111_G</t>
  </si>
  <si>
    <t>$skor_111_H_Total</t>
  </si>
  <si>
    <t>$subTotal_111_I</t>
  </si>
  <si>
    <t>$skor_111_J_Total</t>
  </si>
  <si>
    <t>$subTotal_111_K</t>
  </si>
  <si>
    <t>$skor_21_Total</t>
  </si>
  <si>
    <t>$skor_211_Total</t>
  </si>
  <si>
    <t>$subTotal_211_A</t>
  </si>
  <si>
    <t>$subTotal_211_B</t>
  </si>
  <si>
    <t>$subTotal_211_C</t>
  </si>
  <si>
    <t>$subTotal_211_D</t>
  </si>
  <si>
    <t>$subTotal_211_E</t>
  </si>
  <si>
    <t>$subTotal_211_F</t>
  </si>
  <si>
    <t>$subTotal_211_G</t>
  </si>
  <si>
    <t>$subTotal_211_H</t>
  </si>
  <si>
    <t>$subTotal_211_I</t>
  </si>
  <si>
    <t>$subTotal_212_I</t>
  </si>
  <si>
    <t>$subTotal_212_A</t>
  </si>
  <si>
    <t>$subTotal_212_B</t>
  </si>
  <si>
    <t>$subTotal_212_C</t>
  </si>
  <si>
    <t>$subTotal_212_D</t>
  </si>
  <si>
    <t>$subTotal_212_E</t>
  </si>
  <si>
    <t>$subTotal_212_F</t>
  </si>
  <si>
    <t>$subTotal_212_G</t>
  </si>
  <si>
    <t>$subTotal_212_H</t>
  </si>
  <si>
    <t>$subTotal_212_J</t>
  </si>
  <si>
    <t>$subTotal_212_K</t>
  </si>
  <si>
    <t>$skor_212_Total</t>
  </si>
  <si>
    <t>$skor_31_Total</t>
  </si>
  <si>
    <t>$skor_311_Total</t>
  </si>
  <si>
    <t>$skor_312_Total</t>
  </si>
  <si>
    <t>$skor_313_Total</t>
  </si>
  <si>
    <t>$subTotal_311_A</t>
  </si>
  <si>
    <t>$subTotal_311_B</t>
  </si>
  <si>
    <t>$subTotal_311_C</t>
  </si>
  <si>
    <t>$subTotal_311_D</t>
  </si>
  <si>
    <t>$subTotal_311_E</t>
  </si>
  <si>
    <t>$subTotal_311_F</t>
  </si>
  <si>
    <t>$subTotal_311_G</t>
  </si>
  <si>
    <t>$subTotal_311_H</t>
  </si>
  <si>
    <t>$subTotal_311_I</t>
  </si>
  <si>
    <t>$subTotal_311_J</t>
  </si>
  <si>
    <t>$subTotal_311_K</t>
  </si>
  <si>
    <t>$subTotal_311_L</t>
  </si>
  <si>
    <t>$subTotal_311_M</t>
  </si>
  <si>
    <t>$subTotal_311_N</t>
  </si>
  <si>
    <t>$subTotal_311_P</t>
  </si>
  <si>
    <t>$subTotal_311_O</t>
  </si>
  <si>
    <t>$subTotal_312_A</t>
  </si>
  <si>
    <t>$subTotal_312_B</t>
  </si>
  <si>
    <t>$subTotal_312_C</t>
  </si>
  <si>
    <t>$subTotal_312_D</t>
  </si>
  <si>
    <t>$subTotal_312_E</t>
  </si>
  <si>
    <t>$subTotal_312_F</t>
  </si>
  <si>
    <t>$subTotal_312_G</t>
  </si>
  <si>
    <t>$subTotal_312_H</t>
  </si>
  <si>
    <t>$subTotal_313_A</t>
  </si>
  <si>
    <t>$subTotal_313_B</t>
  </si>
  <si>
    <t>$subTotal_313_C</t>
  </si>
  <si>
    <t>$subTotal_313_D</t>
  </si>
  <si>
    <t>$subTotal_313_E</t>
  </si>
  <si>
    <t>$subTotal_313_F</t>
  </si>
  <si>
    <t>$skor_314_A_Total</t>
  </si>
  <si>
    <t>$skor_314_Total</t>
  </si>
  <si>
    <t>$skor_315_Total</t>
  </si>
  <si>
    <t>4.1</t>
  </si>
  <si>
    <t>KINERJA PERSPEKTIF KEUANGAN</t>
  </si>
  <si>
    <t>$skor_41_Total</t>
  </si>
  <si>
    <t>$skor_411_Total</t>
  </si>
  <si>
    <t>$subTotal_411_A</t>
  </si>
  <si>
    <t>$subTotal_411_B</t>
  </si>
  <si>
    <t>$subTotal_411_C</t>
  </si>
  <si>
    <t>$subTotal_411_D</t>
  </si>
  <si>
    <t>$subTotal_411_E</t>
  </si>
  <si>
    <t>$subTotal_412_A</t>
  </si>
  <si>
    <t>$subTotal_412_B</t>
  </si>
  <si>
    <t>$subTotal_413_A</t>
  </si>
  <si>
    <t>$subTotal_413_B</t>
  </si>
  <si>
    <t>$subTotal_414_A</t>
  </si>
  <si>
    <t>$subTotal_414_B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</si>
</sst>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F0FD-F979-4B15-9757-09EFF60BDF03}">
  <dimension ref="A1:F115"/>
  <sheetViews>
    <sheetView tabSelected="1" topLeftCell="A99" workbookViewId="0">
      <selection activeCell="I101" sqref="I101"/>
    </sheetView>
  </sheetViews>
  <sheetFormatPr defaultRowHeight="13.8"/>
  <cols>
    <col min="1" max="1" width="5.8984375" customWidth="1"/>
    <col min="2" max="2" width="3.3984375" customWidth="1"/>
    <col min="3" max="3" width="41.8984375" customWidth="1"/>
    <col min="4" max="4" width="15.296875" style="3" customWidth="1"/>
    <col min="5" max="5" width="16.796875" bestFit="1" customWidth="1"/>
    <col min="6" max="6" width="18.296875" hidden="1" customWidth="1"/>
  </cols>
  <sheetData>
    <row r="1" spans="1:6" s="3" customFormat="1" ht="41.4" customHeight="1">
      <c r="A1" s="1" t="s">
        <v>0</v>
      </c>
      <c r="B1" s="36" t="s">
        <v>1</v>
      </c>
      <c r="C1" s="36"/>
      <c r="D1" s="2" t="s">
        <v>2</v>
      </c>
      <c r="E1" s="2" t="s">
        <v>3</v>
      </c>
      <c r="F1" s="2" t="s">
        <v>4</v>
      </c>
    </row>
    <row r="2" spans="1:6" ht="36.6" customHeight="1">
      <c r="A2" s="4">
        <v>1</v>
      </c>
      <c r="B2" s="31" t="s">
        <v>5</v>
      </c>
      <c r="C2" s="31"/>
      <c r="D2" s="2">
        <f>D4</f>
        <v>20</v>
      </c>
      <c r="E2" s="37">
        <f>IF(ISTEXT(E3),0,E3)</f>
        <v>0</v>
      </c>
      <c r="F2" s="1"/>
    </row>
    <row r="3" spans="1:6">
      <c r="A3" s="4" t="s">
        <v>6</v>
      </c>
      <c r="B3" s="30" t="s">
        <v>7</v>
      </c>
      <c r="C3" s="30"/>
      <c r="D3" s="1"/>
      <c r="E3" s="6" t="s">
        <v>137</v>
      </c>
      <c r="F3" s="5"/>
    </row>
    <row r="4" spans="1:6">
      <c r="A4" s="4" t="s">
        <v>8</v>
      </c>
      <c r="B4" s="30" t="s">
        <v>9</v>
      </c>
      <c r="C4" s="30"/>
      <c r="D4" s="1">
        <f>SUM(D5:D15)</f>
        <v>20</v>
      </c>
      <c r="E4" s="6" t="s">
        <v>138</v>
      </c>
      <c r="F4" s="5"/>
    </row>
    <row r="5" spans="1:6">
      <c r="A5" s="5"/>
      <c r="B5" s="6" t="s">
        <v>10</v>
      </c>
      <c r="C5" s="7" t="s">
        <v>11</v>
      </c>
      <c r="D5" s="6">
        <v>3</v>
      </c>
      <c r="E5" s="6" t="s">
        <v>139</v>
      </c>
      <c r="F5" s="5"/>
    </row>
    <row r="6" spans="1:6">
      <c r="A6" s="5"/>
      <c r="B6" s="6" t="s">
        <v>12</v>
      </c>
      <c r="C6" s="7" t="s">
        <v>13</v>
      </c>
      <c r="D6" s="6">
        <v>2</v>
      </c>
      <c r="E6" s="6" t="s">
        <v>140</v>
      </c>
      <c r="F6" s="5"/>
    </row>
    <row r="7" spans="1:6">
      <c r="A7" s="5"/>
      <c r="B7" s="6" t="s">
        <v>14</v>
      </c>
      <c r="C7" s="7" t="s">
        <v>15</v>
      </c>
      <c r="D7" s="6">
        <v>2</v>
      </c>
      <c r="E7" s="6" t="s">
        <v>141</v>
      </c>
      <c r="F7" s="5"/>
    </row>
    <row r="8" spans="1:6">
      <c r="A8" s="5"/>
      <c r="B8" s="6" t="s">
        <v>16</v>
      </c>
      <c r="C8" s="7" t="s">
        <v>17</v>
      </c>
      <c r="D8" s="6">
        <v>1</v>
      </c>
      <c r="E8" s="6" t="s">
        <v>142</v>
      </c>
      <c r="F8" s="5"/>
    </row>
    <row r="9" spans="1:6">
      <c r="A9" s="5"/>
      <c r="B9" s="6" t="s">
        <v>18</v>
      </c>
      <c r="C9" s="7" t="s">
        <v>19</v>
      </c>
      <c r="D9" s="6">
        <v>1</v>
      </c>
      <c r="E9" s="6" t="s">
        <v>143</v>
      </c>
      <c r="F9" s="5"/>
    </row>
    <row r="10" spans="1:6" ht="27.6">
      <c r="A10" s="5"/>
      <c r="B10" s="6" t="s">
        <v>20</v>
      </c>
      <c r="C10" s="8" t="s">
        <v>21</v>
      </c>
      <c r="D10" s="6">
        <v>1</v>
      </c>
      <c r="E10" s="6" t="s">
        <v>144</v>
      </c>
      <c r="F10" s="5"/>
    </row>
    <row r="11" spans="1:6">
      <c r="A11" s="5"/>
      <c r="B11" s="6" t="s">
        <v>22</v>
      </c>
      <c r="C11" s="7" t="s">
        <v>23</v>
      </c>
      <c r="D11" s="6">
        <v>2</v>
      </c>
      <c r="E11" s="6" t="s">
        <v>145</v>
      </c>
      <c r="F11" s="5"/>
    </row>
    <row r="12" spans="1:6">
      <c r="A12" s="5"/>
      <c r="B12" s="6" t="s">
        <v>24</v>
      </c>
      <c r="C12" s="7" t="s">
        <v>25</v>
      </c>
      <c r="D12" s="6">
        <v>2</v>
      </c>
      <c r="E12" s="6" t="s">
        <v>146</v>
      </c>
      <c r="F12" s="5"/>
    </row>
    <row r="13" spans="1:6">
      <c r="A13" s="5"/>
      <c r="B13" s="6" t="s">
        <v>26</v>
      </c>
      <c r="C13" s="7" t="s">
        <v>27</v>
      </c>
      <c r="D13" s="6">
        <v>1</v>
      </c>
      <c r="E13" s="6" t="s">
        <v>147</v>
      </c>
      <c r="F13" s="5"/>
    </row>
    <row r="14" spans="1:6">
      <c r="A14" s="5"/>
      <c r="B14" s="6" t="s">
        <v>28</v>
      </c>
      <c r="C14" s="7" t="s">
        <v>29</v>
      </c>
      <c r="D14" s="6">
        <v>3.5</v>
      </c>
      <c r="E14" s="6" t="s">
        <v>148</v>
      </c>
      <c r="F14" s="5"/>
    </row>
    <row r="15" spans="1:6">
      <c r="A15" s="5"/>
      <c r="B15" s="6" t="s">
        <v>30</v>
      </c>
      <c r="C15" s="7" t="s">
        <v>31</v>
      </c>
      <c r="D15" s="6">
        <v>1.5</v>
      </c>
      <c r="E15" s="6" t="s">
        <v>149</v>
      </c>
      <c r="F15" s="5"/>
    </row>
    <row r="16" spans="1:6">
      <c r="A16" s="9"/>
      <c r="B16" s="10"/>
      <c r="C16" s="11"/>
      <c r="D16" s="6"/>
      <c r="E16" s="5"/>
      <c r="F16" s="5"/>
    </row>
    <row r="17" spans="1:6" ht="33" customHeight="1">
      <c r="A17" s="4">
        <v>2</v>
      </c>
      <c r="B17" s="31" t="s">
        <v>32</v>
      </c>
      <c r="C17" s="31"/>
      <c r="D17" s="2">
        <f>D19+D30</f>
        <v>30</v>
      </c>
      <c r="E17" s="37">
        <f>IF(ISTEXT(E18),0,E18)</f>
        <v>0</v>
      </c>
      <c r="F17" s="5"/>
    </row>
    <row r="18" spans="1:6">
      <c r="A18" s="4" t="s">
        <v>33</v>
      </c>
      <c r="B18" s="30" t="s">
        <v>7</v>
      </c>
      <c r="C18" s="30"/>
      <c r="D18" s="1"/>
      <c r="E18" s="6" t="s">
        <v>150</v>
      </c>
      <c r="F18" s="5"/>
    </row>
    <row r="19" spans="1:6">
      <c r="A19" s="4" t="s">
        <v>34</v>
      </c>
      <c r="B19" s="30" t="s">
        <v>35</v>
      </c>
      <c r="C19" s="30"/>
      <c r="D19" s="1">
        <f>SUM(D20:D28)</f>
        <v>12</v>
      </c>
      <c r="E19" s="6" t="s">
        <v>151</v>
      </c>
      <c r="F19" s="12"/>
    </row>
    <row r="20" spans="1:6">
      <c r="A20" s="5"/>
      <c r="B20" s="6" t="s">
        <v>10</v>
      </c>
      <c r="C20" s="7" t="s">
        <v>36</v>
      </c>
      <c r="D20" s="6">
        <v>2</v>
      </c>
      <c r="E20" s="6" t="s">
        <v>152</v>
      </c>
      <c r="F20" s="5"/>
    </row>
    <row r="21" spans="1:6">
      <c r="A21" s="5"/>
      <c r="B21" s="6" t="s">
        <v>12</v>
      </c>
      <c r="C21" s="7" t="s">
        <v>37</v>
      </c>
      <c r="D21" s="6">
        <v>1</v>
      </c>
      <c r="E21" s="6" t="s">
        <v>153</v>
      </c>
      <c r="F21" s="5"/>
    </row>
    <row r="22" spans="1:6">
      <c r="A22" s="5"/>
      <c r="B22" s="6" t="s">
        <v>14</v>
      </c>
      <c r="C22" s="7" t="s">
        <v>38</v>
      </c>
      <c r="D22" s="6">
        <v>1</v>
      </c>
      <c r="E22" s="6" t="s">
        <v>154</v>
      </c>
      <c r="F22" s="5"/>
    </row>
    <row r="23" spans="1:6">
      <c r="A23" s="5"/>
      <c r="B23" s="6" t="s">
        <v>16</v>
      </c>
      <c r="C23" s="7" t="s">
        <v>39</v>
      </c>
      <c r="D23" s="6">
        <v>1</v>
      </c>
      <c r="E23" s="6" t="s">
        <v>155</v>
      </c>
      <c r="F23" s="5"/>
    </row>
    <row r="24" spans="1:6">
      <c r="A24" s="5"/>
      <c r="B24" s="6" t="s">
        <v>18</v>
      </c>
      <c r="C24" s="7" t="s">
        <v>40</v>
      </c>
      <c r="D24" s="6">
        <v>1</v>
      </c>
      <c r="E24" s="6" t="s">
        <v>156</v>
      </c>
      <c r="F24" s="5"/>
    </row>
    <row r="25" spans="1:6">
      <c r="A25" s="5"/>
      <c r="B25" s="6" t="s">
        <v>20</v>
      </c>
      <c r="C25" s="7" t="s">
        <v>41</v>
      </c>
      <c r="D25" s="6">
        <v>1</v>
      </c>
      <c r="E25" s="6" t="s">
        <v>157</v>
      </c>
      <c r="F25" s="5"/>
    </row>
    <row r="26" spans="1:6">
      <c r="A26" s="5"/>
      <c r="B26" s="6" t="s">
        <v>22</v>
      </c>
      <c r="C26" s="7" t="s">
        <v>42</v>
      </c>
      <c r="D26" s="6">
        <v>1</v>
      </c>
      <c r="E26" s="6" t="s">
        <v>158</v>
      </c>
      <c r="F26" s="5"/>
    </row>
    <row r="27" spans="1:6">
      <c r="A27" s="5"/>
      <c r="B27" s="6" t="s">
        <v>24</v>
      </c>
      <c r="C27" s="7" t="s">
        <v>43</v>
      </c>
      <c r="D27" s="6">
        <v>2</v>
      </c>
      <c r="E27" s="6" t="s">
        <v>159</v>
      </c>
      <c r="F27" s="5"/>
    </row>
    <row r="28" spans="1:6">
      <c r="A28" s="5"/>
      <c r="B28" s="6" t="s">
        <v>26</v>
      </c>
      <c r="C28" s="7" t="s">
        <v>44</v>
      </c>
      <c r="D28" s="6">
        <v>2</v>
      </c>
      <c r="E28" s="6" t="s">
        <v>160</v>
      </c>
      <c r="F28" s="5"/>
    </row>
    <row r="29" spans="1:6">
      <c r="A29" s="9"/>
      <c r="B29" s="10"/>
      <c r="C29" s="11"/>
      <c r="D29" s="6"/>
      <c r="E29" s="5"/>
      <c r="F29" s="5"/>
    </row>
    <row r="30" spans="1:6" ht="14.4" customHeight="1">
      <c r="A30" s="4" t="s">
        <v>45</v>
      </c>
      <c r="B30" s="30" t="s">
        <v>46</v>
      </c>
      <c r="C30" s="30"/>
      <c r="D30" s="1">
        <f>SUM(D31:D41)</f>
        <v>18</v>
      </c>
      <c r="E30" s="6" t="s">
        <v>172</v>
      </c>
      <c r="F30" s="5"/>
    </row>
    <row r="31" spans="1:6" ht="27.6">
      <c r="A31" s="5"/>
      <c r="B31" s="6" t="s">
        <v>10</v>
      </c>
      <c r="C31" s="14" t="s">
        <v>47</v>
      </c>
      <c r="D31" s="6">
        <v>2</v>
      </c>
      <c r="E31" s="6" t="s">
        <v>162</v>
      </c>
      <c r="F31" s="5"/>
    </row>
    <row r="32" spans="1:6">
      <c r="A32" s="5"/>
      <c r="B32" s="6" t="s">
        <v>12</v>
      </c>
      <c r="C32" s="7" t="s">
        <v>48</v>
      </c>
      <c r="D32" s="6">
        <v>2</v>
      </c>
      <c r="E32" s="6" t="s">
        <v>163</v>
      </c>
      <c r="F32" s="5"/>
    </row>
    <row r="33" spans="1:6">
      <c r="A33" s="5"/>
      <c r="B33" s="6" t="s">
        <v>14</v>
      </c>
      <c r="C33" s="7" t="s">
        <v>49</v>
      </c>
      <c r="D33" s="6">
        <v>2</v>
      </c>
      <c r="E33" s="6" t="s">
        <v>164</v>
      </c>
      <c r="F33" s="5"/>
    </row>
    <row r="34" spans="1:6">
      <c r="A34" s="5"/>
      <c r="B34" s="6" t="s">
        <v>16</v>
      </c>
      <c r="C34" s="7" t="s">
        <v>50</v>
      </c>
      <c r="D34" s="6">
        <v>2</v>
      </c>
      <c r="E34" s="6" t="s">
        <v>165</v>
      </c>
      <c r="F34" s="5"/>
    </row>
    <row r="35" spans="1:6" ht="27.6">
      <c r="A35" s="5"/>
      <c r="B35" s="6" t="s">
        <v>18</v>
      </c>
      <c r="C35" s="14" t="s">
        <v>51</v>
      </c>
      <c r="D35" s="6">
        <v>2</v>
      </c>
      <c r="E35" s="6" t="s">
        <v>166</v>
      </c>
      <c r="F35" s="5"/>
    </row>
    <row r="36" spans="1:6">
      <c r="A36" s="5"/>
      <c r="B36" s="6" t="s">
        <v>20</v>
      </c>
      <c r="C36" s="7" t="s">
        <v>52</v>
      </c>
      <c r="D36" s="6">
        <v>2</v>
      </c>
      <c r="E36" s="6" t="s">
        <v>167</v>
      </c>
      <c r="F36" s="5"/>
    </row>
    <row r="37" spans="1:6">
      <c r="A37" s="5"/>
      <c r="B37" s="6" t="s">
        <v>22</v>
      </c>
      <c r="C37" s="7" t="s">
        <v>53</v>
      </c>
      <c r="D37" s="6">
        <v>2</v>
      </c>
      <c r="E37" s="6" t="s">
        <v>168</v>
      </c>
      <c r="F37" s="5"/>
    </row>
    <row r="38" spans="1:6" ht="27.6">
      <c r="A38" s="5"/>
      <c r="B38" s="6" t="s">
        <v>24</v>
      </c>
      <c r="C38" s="8" t="s">
        <v>54</v>
      </c>
      <c r="D38" s="6">
        <v>1</v>
      </c>
      <c r="E38" s="6" t="s">
        <v>169</v>
      </c>
      <c r="F38" s="5"/>
    </row>
    <row r="39" spans="1:6">
      <c r="A39" s="5"/>
      <c r="B39" s="6" t="s">
        <v>26</v>
      </c>
      <c r="C39" s="7" t="s">
        <v>55</v>
      </c>
      <c r="D39" s="6">
        <v>1</v>
      </c>
      <c r="E39" s="6" t="s">
        <v>161</v>
      </c>
      <c r="F39" s="5"/>
    </row>
    <row r="40" spans="1:6">
      <c r="A40" s="5"/>
      <c r="B40" s="6" t="s">
        <v>28</v>
      </c>
      <c r="C40" s="7" t="s">
        <v>56</v>
      </c>
      <c r="D40" s="6">
        <v>1</v>
      </c>
      <c r="E40" s="6" t="s">
        <v>170</v>
      </c>
      <c r="F40" s="5"/>
    </row>
    <row r="41" spans="1:6">
      <c r="A41" s="5"/>
      <c r="B41" s="6" t="s">
        <v>30</v>
      </c>
      <c r="C41" s="7" t="s">
        <v>57</v>
      </c>
      <c r="D41" s="6">
        <v>1</v>
      </c>
      <c r="E41" s="6" t="s">
        <v>171</v>
      </c>
      <c r="F41" s="5"/>
    </row>
    <row r="42" spans="1:6">
      <c r="A42" s="9"/>
      <c r="B42" s="10"/>
      <c r="C42" s="11"/>
      <c r="D42" s="6"/>
      <c r="E42" s="6"/>
      <c r="F42" s="5"/>
    </row>
    <row r="43" spans="1:6" s="15" customFormat="1" ht="14.4" customHeight="1">
      <c r="A43" s="4">
        <v>3</v>
      </c>
      <c r="B43" s="31" t="s">
        <v>58</v>
      </c>
      <c r="C43" s="31"/>
      <c r="D43" s="2">
        <f>D45+D63+D73+D81+D84</f>
        <v>30</v>
      </c>
      <c r="E43" s="37">
        <f>IF(ISTEXT(E44),0,E44)</f>
        <v>0</v>
      </c>
      <c r="F43" s="12"/>
    </row>
    <row r="44" spans="1:6" s="15" customFormat="1">
      <c r="A44" s="4" t="s">
        <v>59</v>
      </c>
      <c r="B44" s="30" t="s">
        <v>60</v>
      </c>
      <c r="C44" s="30"/>
      <c r="D44" s="1"/>
      <c r="E44" s="6" t="s">
        <v>173</v>
      </c>
      <c r="F44" s="12"/>
    </row>
    <row r="45" spans="1:6" s="15" customFormat="1">
      <c r="A45" s="4" t="s">
        <v>61</v>
      </c>
      <c r="B45" s="30" t="s">
        <v>62</v>
      </c>
      <c r="C45" s="30"/>
      <c r="D45" s="1">
        <f>SUM(D46:D61)</f>
        <v>16</v>
      </c>
      <c r="E45" s="6" t="s">
        <v>174</v>
      </c>
      <c r="F45" s="12"/>
    </row>
    <row r="46" spans="1:6" ht="14.4">
      <c r="A46" s="5"/>
      <c r="B46" s="6" t="s">
        <v>10</v>
      </c>
      <c r="C46" s="16" t="s">
        <v>63</v>
      </c>
      <c r="D46" s="6">
        <v>1</v>
      </c>
      <c r="E46" s="6" t="s">
        <v>177</v>
      </c>
      <c r="F46" s="5"/>
    </row>
    <row r="47" spans="1:6">
      <c r="A47" s="5"/>
      <c r="B47" s="6" t="s">
        <v>12</v>
      </c>
      <c r="C47" s="17" t="s">
        <v>64</v>
      </c>
      <c r="D47" s="6">
        <v>1</v>
      </c>
      <c r="E47" s="6" t="s">
        <v>178</v>
      </c>
      <c r="F47" s="5"/>
    </row>
    <row r="48" spans="1:6" ht="14.4">
      <c r="A48" s="5"/>
      <c r="B48" s="6" t="s">
        <v>14</v>
      </c>
      <c r="C48" s="16" t="s">
        <v>65</v>
      </c>
      <c r="D48" s="6">
        <v>1</v>
      </c>
      <c r="E48" s="6" t="s">
        <v>179</v>
      </c>
      <c r="F48" s="5"/>
    </row>
    <row r="49" spans="1:6">
      <c r="A49" s="5"/>
      <c r="B49" s="6" t="s">
        <v>16</v>
      </c>
      <c r="C49" s="17" t="s">
        <v>66</v>
      </c>
      <c r="D49" s="6">
        <v>1</v>
      </c>
      <c r="E49" s="6" t="s">
        <v>180</v>
      </c>
      <c r="F49" s="5"/>
    </row>
    <row r="50" spans="1:6" ht="27.6">
      <c r="A50" s="5"/>
      <c r="B50" s="6" t="s">
        <v>18</v>
      </c>
      <c r="C50" s="18" t="s">
        <v>67</v>
      </c>
      <c r="D50" s="6">
        <v>1</v>
      </c>
      <c r="E50" s="6" t="s">
        <v>181</v>
      </c>
      <c r="F50" s="5"/>
    </row>
    <row r="51" spans="1:6">
      <c r="A51" s="5"/>
      <c r="B51" s="6" t="s">
        <v>20</v>
      </c>
      <c r="C51" s="17" t="s">
        <v>68</v>
      </c>
      <c r="D51" s="6">
        <v>1</v>
      </c>
      <c r="E51" s="6" t="s">
        <v>182</v>
      </c>
      <c r="F51" s="5"/>
    </row>
    <row r="52" spans="1:6">
      <c r="A52" s="5"/>
      <c r="B52" s="6" t="s">
        <v>22</v>
      </c>
      <c r="C52" s="17" t="s">
        <v>69</v>
      </c>
      <c r="D52" s="6">
        <v>1</v>
      </c>
      <c r="E52" s="6" t="s">
        <v>183</v>
      </c>
      <c r="F52" s="5"/>
    </row>
    <row r="53" spans="1:6">
      <c r="A53" s="5"/>
      <c r="B53" s="6" t="s">
        <v>24</v>
      </c>
      <c r="C53" s="17" t="s">
        <v>70</v>
      </c>
      <c r="D53" s="6">
        <v>1</v>
      </c>
      <c r="E53" s="6" t="s">
        <v>184</v>
      </c>
      <c r="F53" s="5"/>
    </row>
    <row r="54" spans="1:6">
      <c r="A54" s="5"/>
      <c r="B54" s="6" t="s">
        <v>26</v>
      </c>
      <c r="C54" s="17" t="s">
        <v>71</v>
      </c>
      <c r="D54" s="6">
        <v>1</v>
      </c>
      <c r="E54" s="6" t="s">
        <v>185</v>
      </c>
      <c r="F54" s="5"/>
    </row>
    <row r="55" spans="1:6" ht="27.6">
      <c r="A55" s="5"/>
      <c r="B55" s="6" t="s">
        <v>28</v>
      </c>
      <c r="C55" s="18" t="s">
        <v>72</v>
      </c>
      <c r="D55" s="6">
        <v>1</v>
      </c>
      <c r="E55" s="6" t="s">
        <v>186</v>
      </c>
      <c r="F55" s="5"/>
    </row>
    <row r="56" spans="1:6">
      <c r="A56" s="5"/>
      <c r="B56" s="6" t="s">
        <v>30</v>
      </c>
      <c r="C56" s="17" t="s">
        <v>73</v>
      </c>
      <c r="D56" s="6">
        <v>1</v>
      </c>
      <c r="E56" s="6" t="s">
        <v>187</v>
      </c>
      <c r="F56" s="5"/>
    </row>
    <row r="57" spans="1:6">
      <c r="A57" s="5"/>
      <c r="B57" s="6" t="s">
        <v>74</v>
      </c>
      <c r="C57" s="17" t="s">
        <v>75</v>
      </c>
      <c r="D57" s="6">
        <v>1</v>
      </c>
      <c r="E57" s="6" t="s">
        <v>188</v>
      </c>
      <c r="F57" s="5"/>
    </row>
    <row r="58" spans="1:6">
      <c r="A58" s="5"/>
      <c r="B58" s="6" t="s">
        <v>76</v>
      </c>
      <c r="C58" s="17" t="s">
        <v>77</v>
      </c>
      <c r="D58" s="6">
        <v>1</v>
      </c>
      <c r="E58" s="6" t="s">
        <v>189</v>
      </c>
      <c r="F58" s="5"/>
    </row>
    <row r="59" spans="1:6">
      <c r="A59" s="5"/>
      <c r="B59" s="6" t="s">
        <v>78</v>
      </c>
      <c r="C59" s="17" t="s">
        <v>79</v>
      </c>
      <c r="D59" s="6">
        <v>1</v>
      </c>
      <c r="E59" s="6" t="s">
        <v>190</v>
      </c>
      <c r="F59" s="5"/>
    </row>
    <row r="60" spans="1:6">
      <c r="A60" s="5"/>
      <c r="B60" s="6" t="s">
        <v>80</v>
      </c>
      <c r="C60" s="17" t="s">
        <v>81</v>
      </c>
      <c r="D60" s="6">
        <v>1</v>
      </c>
      <c r="E60" s="6" t="s">
        <v>192</v>
      </c>
      <c r="F60" s="5"/>
    </row>
    <row r="61" spans="1:6">
      <c r="A61" s="5"/>
      <c r="B61" s="6" t="s">
        <v>82</v>
      </c>
      <c r="C61" s="17" t="s">
        <v>83</v>
      </c>
      <c r="D61" s="6">
        <v>1</v>
      </c>
      <c r="E61" s="6" t="s">
        <v>191</v>
      </c>
      <c r="F61" s="5"/>
    </row>
    <row r="62" spans="1:6">
      <c r="A62" s="9"/>
      <c r="B62" s="10"/>
      <c r="C62" s="11"/>
      <c r="D62" s="6"/>
      <c r="E62" s="6"/>
      <c r="F62" s="5"/>
    </row>
    <row r="63" spans="1:6" s="15" customFormat="1">
      <c r="A63" s="4" t="s">
        <v>84</v>
      </c>
      <c r="B63" s="30" t="s">
        <v>85</v>
      </c>
      <c r="C63" s="30"/>
      <c r="D63" s="1">
        <f>SUM(D64:D71)</f>
        <v>6</v>
      </c>
      <c r="E63" s="6" t="s">
        <v>175</v>
      </c>
      <c r="F63" s="12"/>
    </row>
    <row r="64" spans="1:6">
      <c r="A64" s="5"/>
      <c r="B64" s="6" t="s">
        <v>10</v>
      </c>
      <c r="C64" s="7" t="s">
        <v>86</v>
      </c>
      <c r="D64" s="6">
        <v>1</v>
      </c>
      <c r="E64" s="6" t="s">
        <v>193</v>
      </c>
      <c r="F64" s="5"/>
    </row>
    <row r="65" spans="1:6">
      <c r="A65" s="5"/>
      <c r="B65" s="6" t="s">
        <v>12</v>
      </c>
      <c r="C65" s="7" t="s">
        <v>87</v>
      </c>
      <c r="D65" s="6">
        <v>1</v>
      </c>
      <c r="E65" s="6" t="s">
        <v>194</v>
      </c>
      <c r="F65" s="5"/>
    </row>
    <row r="66" spans="1:6">
      <c r="A66" s="5"/>
      <c r="B66" s="6" t="s">
        <v>14</v>
      </c>
      <c r="C66" s="7" t="s">
        <v>88</v>
      </c>
      <c r="D66" s="6">
        <v>1</v>
      </c>
      <c r="E66" s="6" t="s">
        <v>195</v>
      </c>
      <c r="F66" s="5"/>
    </row>
    <row r="67" spans="1:6">
      <c r="A67" s="5"/>
      <c r="B67" s="6" t="s">
        <v>16</v>
      </c>
      <c r="C67" s="7" t="s">
        <v>89</v>
      </c>
      <c r="D67" s="6">
        <v>0.5</v>
      </c>
      <c r="E67" s="6" t="s">
        <v>196</v>
      </c>
      <c r="F67" s="5"/>
    </row>
    <row r="68" spans="1:6">
      <c r="A68" s="5"/>
      <c r="B68" s="6" t="s">
        <v>18</v>
      </c>
      <c r="C68" s="7" t="s">
        <v>90</v>
      </c>
      <c r="D68" s="6">
        <v>0.5</v>
      </c>
      <c r="E68" s="6" t="s">
        <v>197</v>
      </c>
      <c r="F68" s="5"/>
    </row>
    <row r="69" spans="1:6">
      <c r="A69" s="5"/>
      <c r="B69" s="6" t="s">
        <v>20</v>
      </c>
      <c r="C69" s="7" t="s">
        <v>91</v>
      </c>
      <c r="D69" s="6">
        <v>0.5</v>
      </c>
      <c r="E69" s="6" t="s">
        <v>198</v>
      </c>
      <c r="F69" s="5"/>
    </row>
    <row r="70" spans="1:6">
      <c r="A70" s="5"/>
      <c r="B70" s="6" t="s">
        <v>22</v>
      </c>
      <c r="C70" s="7" t="s">
        <v>92</v>
      </c>
      <c r="D70" s="6">
        <v>0.5</v>
      </c>
      <c r="E70" s="6" t="s">
        <v>199</v>
      </c>
      <c r="F70" s="5"/>
    </row>
    <row r="71" spans="1:6">
      <c r="A71" s="5"/>
      <c r="B71" s="6" t="s">
        <v>24</v>
      </c>
      <c r="C71" s="7" t="s">
        <v>93</v>
      </c>
      <c r="D71" s="6">
        <v>1</v>
      </c>
      <c r="E71" s="6" t="s">
        <v>200</v>
      </c>
      <c r="F71" s="5"/>
    </row>
    <row r="72" spans="1:6">
      <c r="A72" s="9"/>
      <c r="B72" s="10"/>
      <c r="C72" s="11"/>
      <c r="D72" s="6"/>
      <c r="E72" s="6"/>
      <c r="F72" s="5"/>
    </row>
    <row r="73" spans="1:6" s="15" customFormat="1">
      <c r="A73" s="4" t="s">
        <v>94</v>
      </c>
      <c r="B73" s="30" t="s">
        <v>95</v>
      </c>
      <c r="C73" s="30"/>
      <c r="D73" s="1">
        <f>SUM(D74:D79)</f>
        <v>6</v>
      </c>
      <c r="E73" s="6" t="s">
        <v>176</v>
      </c>
      <c r="F73" s="12"/>
    </row>
    <row r="74" spans="1:6">
      <c r="A74" s="5"/>
      <c r="B74" s="6" t="s">
        <v>10</v>
      </c>
      <c r="C74" s="7" t="s">
        <v>96</v>
      </c>
      <c r="D74" s="6">
        <v>1</v>
      </c>
      <c r="E74" s="6" t="s">
        <v>201</v>
      </c>
      <c r="F74" s="5"/>
    </row>
    <row r="75" spans="1:6">
      <c r="A75" s="5"/>
      <c r="B75" s="6" t="s">
        <v>12</v>
      </c>
      <c r="C75" s="7" t="s">
        <v>97</v>
      </c>
      <c r="D75" s="6">
        <v>1</v>
      </c>
      <c r="E75" s="6" t="s">
        <v>202</v>
      </c>
      <c r="F75" s="5"/>
    </row>
    <row r="76" spans="1:6">
      <c r="A76" s="5"/>
      <c r="B76" s="6" t="s">
        <v>14</v>
      </c>
      <c r="C76" s="7" t="s">
        <v>98</v>
      </c>
      <c r="D76" s="6">
        <v>1</v>
      </c>
      <c r="E76" s="6" t="s">
        <v>203</v>
      </c>
      <c r="F76" s="5"/>
    </row>
    <row r="77" spans="1:6" ht="27.6">
      <c r="A77" s="5"/>
      <c r="B77" s="6" t="s">
        <v>16</v>
      </c>
      <c r="C77" s="8" t="s">
        <v>99</v>
      </c>
      <c r="D77" s="6">
        <v>1</v>
      </c>
      <c r="E77" s="6" t="s">
        <v>204</v>
      </c>
      <c r="F77" s="5"/>
    </row>
    <row r="78" spans="1:6">
      <c r="A78" s="5"/>
      <c r="B78" s="6" t="s">
        <v>18</v>
      </c>
      <c r="C78" s="7" t="s">
        <v>100</v>
      </c>
      <c r="D78" s="6">
        <v>1</v>
      </c>
      <c r="E78" s="6" t="s">
        <v>205</v>
      </c>
      <c r="F78" s="5"/>
    </row>
    <row r="79" spans="1:6">
      <c r="A79" s="5"/>
      <c r="B79" s="6" t="s">
        <v>20</v>
      </c>
      <c r="C79" s="7" t="s">
        <v>101</v>
      </c>
      <c r="D79" s="6">
        <v>1</v>
      </c>
      <c r="E79" s="6" t="s">
        <v>206</v>
      </c>
      <c r="F79" s="5"/>
    </row>
    <row r="80" spans="1:6">
      <c r="A80" s="9"/>
      <c r="B80" s="10"/>
      <c r="C80" s="11"/>
      <c r="D80" s="6"/>
      <c r="E80" s="6"/>
      <c r="F80" s="5"/>
    </row>
    <row r="81" spans="1:6">
      <c r="A81" s="4" t="s">
        <v>102</v>
      </c>
      <c r="B81" s="30" t="s">
        <v>103</v>
      </c>
      <c r="C81" s="30"/>
      <c r="D81" s="1">
        <f>SUM(D82)</f>
        <v>1</v>
      </c>
      <c r="E81" s="6" t="s">
        <v>208</v>
      </c>
      <c r="F81" s="5"/>
    </row>
    <row r="82" spans="1:6">
      <c r="A82" s="5"/>
      <c r="B82" s="6" t="s">
        <v>10</v>
      </c>
      <c r="C82" s="7" t="s">
        <v>104</v>
      </c>
      <c r="D82" s="6">
        <v>1</v>
      </c>
      <c r="E82" s="6" t="s">
        <v>207</v>
      </c>
      <c r="F82" s="5"/>
    </row>
    <row r="83" spans="1:6">
      <c r="A83" s="9"/>
      <c r="B83" s="10"/>
      <c r="C83" s="11"/>
      <c r="D83" s="6"/>
      <c r="E83" s="6"/>
      <c r="F83" s="5"/>
    </row>
    <row r="84" spans="1:6">
      <c r="A84" s="4" t="s">
        <v>105</v>
      </c>
      <c r="B84" s="30" t="s">
        <v>106</v>
      </c>
      <c r="C84" s="30"/>
      <c r="D84" s="1">
        <v>1</v>
      </c>
      <c r="E84" s="6" t="s">
        <v>209</v>
      </c>
      <c r="F84" s="5"/>
    </row>
    <row r="85" spans="1:6">
      <c r="A85" s="9"/>
      <c r="B85" s="10"/>
      <c r="C85" s="11"/>
      <c r="D85" s="6"/>
      <c r="E85" s="6"/>
      <c r="F85" s="5"/>
    </row>
    <row r="86" spans="1:6" s="15" customFormat="1">
      <c r="A86" s="4">
        <v>4</v>
      </c>
      <c r="B86" s="30" t="s">
        <v>107</v>
      </c>
      <c r="C86" s="30"/>
      <c r="D86" s="1">
        <f>D88+D95+D99+D103</f>
        <v>20</v>
      </c>
      <c r="E86" s="37">
        <f>IF(ISTEXT(E87),0,E87)</f>
        <v>0</v>
      </c>
      <c r="F86" s="12"/>
    </row>
    <row r="87" spans="1:6" s="15" customFormat="1">
      <c r="A87" s="26" t="s">
        <v>210</v>
      </c>
      <c r="B87" s="30" t="s">
        <v>211</v>
      </c>
      <c r="C87" s="30"/>
      <c r="D87" s="27"/>
      <c r="E87" s="6" t="s">
        <v>212</v>
      </c>
      <c r="F87" s="12"/>
    </row>
    <row r="88" spans="1:6" s="15" customFormat="1" ht="30" customHeight="1">
      <c r="A88" s="4" t="s">
        <v>108</v>
      </c>
      <c r="B88" s="31" t="s">
        <v>109</v>
      </c>
      <c r="C88" s="31"/>
      <c r="D88" s="1">
        <f>SUM(D89:D93)</f>
        <v>8</v>
      </c>
      <c r="E88" s="6" t="s">
        <v>213</v>
      </c>
      <c r="F88" s="12"/>
    </row>
    <row r="89" spans="1:6">
      <c r="A89" s="4"/>
      <c r="B89" s="6" t="s">
        <v>10</v>
      </c>
      <c r="C89" s="7" t="s">
        <v>110</v>
      </c>
      <c r="D89" s="6">
        <v>2</v>
      </c>
      <c r="E89" s="6" t="s">
        <v>214</v>
      </c>
      <c r="F89" s="5"/>
    </row>
    <row r="90" spans="1:6">
      <c r="A90" s="4"/>
      <c r="B90" s="6" t="s">
        <v>12</v>
      </c>
      <c r="C90" s="7" t="s">
        <v>111</v>
      </c>
      <c r="D90" s="6">
        <v>2</v>
      </c>
      <c r="E90" s="6" t="s">
        <v>215</v>
      </c>
      <c r="F90" s="5"/>
    </row>
    <row r="91" spans="1:6">
      <c r="A91" s="4"/>
      <c r="B91" s="6" t="s">
        <v>14</v>
      </c>
      <c r="C91" s="7" t="s">
        <v>112</v>
      </c>
      <c r="D91" s="6">
        <v>2</v>
      </c>
      <c r="E91" s="6" t="s">
        <v>216</v>
      </c>
      <c r="F91" s="5"/>
    </row>
    <row r="92" spans="1:6">
      <c r="A92" s="4"/>
      <c r="B92" s="6" t="s">
        <v>16</v>
      </c>
      <c r="C92" s="7" t="s">
        <v>113</v>
      </c>
      <c r="D92" s="6">
        <v>1</v>
      </c>
      <c r="E92" s="6" t="s">
        <v>217</v>
      </c>
      <c r="F92" s="5"/>
    </row>
    <row r="93" spans="1:6">
      <c r="A93" s="4"/>
      <c r="B93" s="6" t="s">
        <v>18</v>
      </c>
      <c r="C93" s="7" t="s">
        <v>114</v>
      </c>
      <c r="D93" s="6">
        <v>1</v>
      </c>
      <c r="E93" s="6" t="s">
        <v>218</v>
      </c>
      <c r="F93" s="5"/>
    </row>
    <row r="94" spans="1:6">
      <c r="A94" s="19"/>
      <c r="B94" s="20"/>
      <c r="C94" s="11"/>
      <c r="D94" s="6"/>
      <c r="E94" s="6"/>
      <c r="F94" s="5"/>
    </row>
    <row r="95" spans="1:6" s="15" customFormat="1" ht="29.4" customHeight="1">
      <c r="A95" s="4" t="s">
        <v>115</v>
      </c>
      <c r="B95" s="31" t="s">
        <v>116</v>
      </c>
      <c r="C95" s="31"/>
      <c r="D95" s="1">
        <f>SUM(D96:D97)</f>
        <v>4</v>
      </c>
      <c r="E95" s="6" t="s">
        <v>213</v>
      </c>
      <c r="F95" s="12"/>
    </row>
    <row r="96" spans="1:6">
      <c r="A96" s="4"/>
      <c r="B96" s="6" t="s">
        <v>10</v>
      </c>
      <c r="C96" s="7" t="s">
        <v>117</v>
      </c>
      <c r="D96" s="6">
        <v>2</v>
      </c>
      <c r="E96" s="6" t="s">
        <v>219</v>
      </c>
      <c r="F96" s="5"/>
    </row>
    <row r="97" spans="1:6">
      <c r="A97" s="4"/>
      <c r="B97" s="6" t="s">
        <v>12</v>
      </c>
      <c r="C97" s="7" t="s">
        <v>118</v>
      </c>
      <c r="D97" s="6">
        <v>2</v>
      </c>
      <c r="E97" s="6" t="s">
        <v>220</v>
      </c>
      <c r="F97" s="5"/>
    </row>
    <row r="98" spans="1:6">
      <c r="A98" s="19"/>
      <c r="B98" s="20"/>
      <c r="C98" s="11"/>
      <c r="D98" s="6"/>
      <c r="E98" s="6"/>
      <c r="F98" s="5"/>
    </row>
    <row r="99" spans="1:6" s="15" customFormat="1">
      <c r="A99" s="4" t="s">
        <v>119</v>
      </c>
      <c r="B99" s="30" t="s">
        <v>120</v>
      </c>
      <c r="C99" s="30"/>
      <c r="D99" s="1">
        <f>SUM(D100:D101)</f>
        <v>4</v>
      </c>
      <c r="E99" s="6" t="s">
        <v>213</v>
      </c>
      <c r="F99" s="12"/>
    </row>
    <row r="100" spans="1:6">
      <c r="A100" s="4"/>
      <c r="B100" s="6" t="s">
        <v>10</v>
      </c>
      <c r="C100" s="7" t="s">
        <v>121</v>
      </c>
      <c r="D100" s="6">
        <v>2</v>
      </c>
      <c r="E100" s="6" t="s">
        <v>221</v>
      </c>
      <c r="F100" s="5"/>
    </row>
    <row r="101" spans="1:6">
      <c r="A101" s="4"/>
      <c r="B101" s="6" t="s">
        <v>12</v>
      </c>
      <c r="C101" s="7" t="s">
        <v>122</v>
      </c>
      <c r="D101" s="6">
        <v>2</v>
      </c>
      <c r="E101" s="6" t="s">
        <v>222</v>
      </c>
      <c r="F101" s="5"/>
    </row>
    <row r="102" spans="1:6">
      <c r="A102" s="19"/>
      <c r="B102" s="20"/>
      <c r="C102" s="11"/>
      <c r="D102" s="6"/>
      <c r="E102" s="6"/>
      <c r="F102" s="5"/>
    </row>
    <row r="103" spans="1:6" s="15" customFormat="1" ht="30" customHeight="1">
      <c r="A103" s="4" t="s">
        <v>123</v>
      </c>
      <c r="B103" s="31" t="s">
        <v>124</v>
      </c>
      <c r="C103" s="31"/>
      <c r="D103" s="1">
        <f>SUM(D104:D105)</f>
        <v>4</v>
      </c>
      <c r="E103" s="6" t="s">
        <v>213</v>
      </c>
      <c r="F103" s="12"/>
    </row>
    <row r="104" spans="1:6" ht="27.6">
      <c r="A104" s="5"/>
      <c r="B104" s="6" t="s">
        <v>10</v>
      </c>
      <c r="C104" s="14" t="s">
        <v>125</v>
      </c>
      <c r="D104" s="6">
        <v>2</v>
      </c>
      <c r="E104" s="6" t="s">
        <v>223</v>
      </c>
      <c r="F104" s="5"/>
    </row>
    <row r="105" spans="1:6" ht="27.6">
      <c r="A105" s="5"/>
      <c r="B105" s="6" t="s">
        <v>12</v>
      </c>
      <c r="C105" s="14" t="s">
        <v>126</v>
      </c>
      <c r="D105" s="6">
        <v>2</v>
      </c>
      <c r="E105" s="6" t="s">
        <v>224</v>
      </c>
      <c r="F105" s="5"/>
    </row>
    <row r="106" spans="1:6" ht="24.6" customHeight="1">
      <c r="A106" s="32"/>
      <c r="B106" s="33"/>
      <c r="C106" s="34"/>
      <c r="D106" s="1">
        <f>D2+D17+D43+D86</f>
        <v>100</v>
      </c>
      <c r="E106" s="13">
        <f>E2+E17+E43+E86</f>
        <v>0</v>
      </c>
      <c r="F106" s="1">
        <f>F2+F17+F43+F86</f>
        <v>0</v>
      </c>
    </row>
    <row r="107" spans="1:6">
      <c r="E107" s="3"/>
    </row>
    <row r="108" spans="1:6" ht="15">
      <c r="A108" s="21" t="s">
        <v>127</v>
      </c>
      <c r="E108" s="3"/>
    </row>
    <row r="109" spans="1:6" ht="19.95" customHeight="1">
      <c r="A109" s="22" t="s">
        <v>0</v>
      </c>
      <c r="B109" s="35" t="s">
        <v>128</v>
      </c>
      <c r="C109" s="35"/>
      <c r="D109" s="22" t="s">
        <v>129</v>
      </c>
      <c r="E109" s="22" t="s">
        <v>130</v>
      </c>
    </row>
    <row r="110" spans="1:6" ht="19.95" customHeight="1">
      <c r="A110" s="22">
        <v>1</v>
      </c>
      <c r="B110" s="28" t="s">
        <v>131</v>
      </c>
      <c r="C110" s="28"/>
      <c r="D110" s="22">
        <v>20</v>
      </c>
      <c r="E110" s="22">
        <f>E2</f>
        <v>0</v>
      </c>
    </row>
    <row r="111" spans="1:6" ht="19.95" customHeight="1">
      <c r="A111" s="22">
        <v>2</v>
      </c>
      <c r="B111" s="28" t="s">
        <v>132</v>
      </c>
      <c r="C111" s="28"/>
      <c r="D111" s="22">
        <v>30</v>
      </c>
      <c r="E111" s="23">
        <f>E17</f>
        <v>0</v>
      </c>
    </row>
    <row r="112" spans="1:6" ht="19.95" customHeight="1">
      <c r="A112" s="22">
        <v>3</v>
      </c>
      <c r="B112" s="28" t="s">
        <v>133</v>
      </c>
      <c r="C112" s="28"/>
      <c r="D112" s="22">
        <v>30</v>
      </c>
      <c r="E112" s="22">
        <f>E43</f>
        <v>0</v>
      </c>
    </row>
    <row r="113" spans="1:5" ht="19.95" customHeight="1">
      <c r="A113" s="22">
        <v>4</v>
      </c>
      <c r="B113" s="28" t="s">
        <v>134</v>
      </c>
      <c r="C113" s="28"/>
      <c r="D113" s="22">
        <v>20</v>
      </c>
      <c r="E113" s="22">
        <f>E86</f>
        <v>0</v>
      </c>
    </row>
    <row r="114" spans="1:5" ht="19.95" customHeight="1">
      <c r="A114" s="7"/>
      <c r="B114" s="29" t="s">
        <v>135</v>
      </c>
      <c r="C114" s="29"/>
      <c r="D114" s="24">
        <f>SUM(D110:D113)</f>
        <v>100</v>
      </c>
      <c r="E114" s="24">
        <f>SUM(E110:E113)</f>
        <v>0</v>
      </c>
    </row>
    <row r="115" spans="1:5" ht="19.95" customHeight="1">
      <c r="A115" s="7"/>
      <c r="B115" s="25" t="s">
        <v>136</v>
      </c>
      <c r="C115" s="25"/>
      <c r="D115" s="6"/>
      <c r="E115" s="24" t="str">
        <f>IF(E114&lt;60,"C (Kurang)",IF(E114&lt;70,"B (Cukup)",IF(E114&lt;80,"BB (Baik)",IF(E114&lt;90,"A (Sangat Baik)",IF(E114&gt;=90,"AA (Memuaskan)")))))</f>
        <v>C (Kurang)</v>
      </c>
    </row>
  </sheetData>
  <mergeCells count="28">
    <mergeCell ref="B18:C18"/>
    <mergeCell ref="B1:C1"/>
    <mergeCell ref="B2:C2"/>
    <mergeCell ref="B3:C3"/>
    <mergeCell ref="B4:C4"/>
    <mergeCell ref="B17:C17"/>
    <mergeCell ref="B95:C95"/>
    <mergeCell ref="B19:C19"/>
    <mergeCell ref="B30:C30"/>
    <mergeCell ref="B43:C43"/>
    <mergeCell ref="B44:C44"/>
    <mergeCell ref="B45:C45"/>
    <mergeCell ref="B63:C63"/>
    <mergeCell ref="B73:C73"/>
    <mergeCell ref="B81:C81"/>
    <mergeCell ref="B84:C84"/>
    <mergeCell ref="B86:C86"/>
    <mergeCell ref="B88:C88"/>
    <mergeCell ref="B87:C87"/>
    <mergeCell ref="B112:C112"/>
    <mergeCell ref="B113:C113"/>
    <mergeCell ref="B114:C114"/>
    <mergeCell ref="B99:C99"/>
    <mergeCell ref="B103:C103"/>
    <mergeCell ref="A106:C106"/>
    <mergeCell ref="B109:C109"/>
    <mergeCell ref="B110:C110"/>
    <mergeCell ref="B111:C1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Muchammad Nurul Arifin</dc:creator>
  <cp:lastModifiedBy>Muchammad Nurul Arifin</cp:lastModifiedBy>
  <dcterms:created xsi:type="dcterms:W3CDTF">2026-07-13T17:19:24Z</dcterms:created>
  <dcterms:modified xsi:type="dcterms:W3CDTF">2026-07-14T03:17:50Z</dcterms:modified>
</cp:coreProperties>
</file>